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Users/fabriceguelat/Downloads/"/>
    </mc:Choice>
  </mc:AlternateContent>
  <xr:revisionPtr revIDLastSave="0" documentId="8_{EC43A657-12AE-1643-8BAC-9E06A42CCBAE}" xr6:coauthVersionLast="47" xr6:coauthVersionMax="47" xr10:uidLastSave="{00000000-0000-0000-0000-000000000000}"/>
  <bookViews>
    <workbookView xWindow="0" yWindow="600" windowWidth="28140" windowHeight="19380" tabRatio="500" firstSheet="3" activeTab="3" xr2:uid="{00000000-000D-0000-FFFF-FFFF00000000}"/>
  </bookViews>
  <sheets>
    <sheet name="Method" sheetId="1" r:id="rId1"/>
    <sheet name="Capability coverage" sheetId="2" r:id="rId2"/>
    <sheet name="Test cases" sheetId="3" r:id="rId3"/>
    <sheet name="Book reference" sheetId="4" r:id="rId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4" i="3" l="1"/>
  <c r="E43" i="3"/>
  <c r="E42" i="3"/>
  <c r="E41" i="3"/>
  <c r="E40" i="3"/>
</calcChain>
</file>

<file path=xl/sharedStrings.xml><?xml version="1.0" encoding="utf-8"?>
<sst xmlns="http://schemas.openxmlformats.org/spreadsheetml/2006/main" count="344" uniqueCount="292">
  <si>
    <t>RAG AI Assistant — Test Plan  |  Sales &amp; Banking Negotiation (EN / FR)</t>
  </si>
  <si>
    <t>Purpose</t>
  </si>
  <si>
    <t>Validate / invalidate, through black-box testing, the assistant's ability to retrieve the book's content and never hallucinate. Each case maps to one of 10 target capabilities (see tab « Capability coverage »).</t>
  </si>
  <si>
    <t>Source of truth</t>
  </si>
  <si>
    <t>Two PDFs provided, same editions: Sales_and_negociation_OK.pdf (EN, 517 pp.) and Vente_et_negociation_bancaire_final_amazon.pdf (FR, 516 pp.).</t>
  </si>
  <si>
    <t>Key finding — pagination</t>
  </si>
  <si>
    <t>The two editions are ALIGNED: each chapter starts on the same printed page in EN and FR (ch.1 p.35, ch.8 p.297, ch.10 p.359…). Cross-language page tests are therefore valid.</t>
  </si>
  <si>
    <t>Pagination pitfall (offset)</t>
  </si>
  <si>
    <t>The PRINTED folio = (PDF page number − 1). If the app returns a page number, check whether it gives the printed folio (what a reader sees) or a PDF index. All « expected page » values in this workbook are PRINTED FOLIOS.</t>
  </si>
  <si>
    <t>How to use</t>
  </si>
  <si>
    <t>« Test cases » tab: run each case in the app, paste the actual answer, record the cited page, then pick PASS / FAIL / PARTIAL in the Verdict column. The summary updates automatically.</t>
  </si>
  <si>
    <t>Decision rule</t>
  </si>
  <si>
    <t>Immediate NO-GO if a single capability-10 case (« not found without hallucinating ») fails, OR if &gt; 20% of retrieval cases fail. GO if no critical or major defect remains.</t>
  </si>
  <si>
    <t>Note</t>
  </si>
  <si>
    <t>This workbook does NOT simulate the app's RAG. It supplies the ammunition (real data + expected results). Execution happens inside the iOS app.</t>
  </si>
  <si>
    <t>Language note</t>
  </si>
  <si>
    <t>Probe strings that target the French text are kept in French on purpose — they must match the FR PDF verbatim to be valid. All instructions and expected results are in English.</t>
  </si>
  <si>
    <t>Figures &amp; tables</t>
  </si>
  <si>
    <t>RAG pipelines often drop tables and figures at ingestion. Cases C30–C35 probe whether table text and figure captions survived, and whether the app admits it cannot see an image instead of fabricating one. See the « Book reference » tab for the catalogue of excerpts, figures and tables with their folios.</t>
  </si>
  <si>
    <t>Coverage of the 10 target capabilities → test cases</t>
  </si>
  <si>
    <t>#</t>
  </si>
  <si>
    <t>Target capability</t>
  </si>
  <si>
    <t>What we observe (black box)</t>
  </si>
  <si>
    <t>Cases</t>
  </si>
  <si>
    <t>Failure signal</t>
  </si>
  <si>
    <t>Clean text extraction</t>
  </si>
  <si>
    <t>An exact sentence from the body (with apostrophes/accents) is retrieved verbatim.</t>
  </si>
  <si>
    <t>C01, C02</t>
  </si>
  <si>
    <t>Text not found, garbled characters, lost accents.</t>
  </si>
  <si>
    <t>Title preservation</t>
  </si>
  <si>
    <t>A chapter title copied verbatim points to the right chapter.</t>
  </si>
  <si>
    <t>C03–C05</t>
  </si>
  <si>
    <t>Exact title not recognized / wrong chapter.</t>
  </si>
  <si>
    <t>Page preservation</t>
  </si>
  <si>
    <t>The correct page (printed folio) is returned for a known passage.</t>
  </si>
  <si>
    <t>C06–C08</t>
  </si>
  <si>
    <t>No page, or wrong / off-by-one page.</t>
  </si>
  <si>
    <t>Exact lexical index</t>
  </si>
  <si>
    <t>A rare exact term (acronym) is retrieved even with thin semantic context.</t>
  </si>
  <si>
    <t>C09–C11</t>
  </si>
  <si>
    <t>Exact acronym not found (no lexical search).</t>
  </si>
  <si>
    <t>Vector index</t>
  </si>
  <si>
    <t>A paraphrase with NO shared keyword still retrieves the right passage.</t>
  </si>
  <si>
    <t>C12–C13</t>
  </si>
  <si>
    <t>Fails as soon as the exact words change.</t>
  </si>
  <si>
    <t>Hybrid search</t>
  </si>
  <si>
    <t>A query mixing a rare term + a concept exploits both indexes.</t>
  </si>
  <si>
    <t>C14–C15</t>
  </si>
  <si>
    <t>Only one of the two halves works.</t>
  </si>
  <si>
    <t>Reranking</t>
  </si>
  <si>
    <t>For a frequent term, the MOST relevant passage surfaces first.</t>
  </si>
  <si>
    <t>C16–C17</t>
  </si>
  <si>
    <t>Off-topic results ranked above the right passage.</t>
  </si>
  <si>
    <t>Hierarchical chunking</t>
  </si>
  <si>
    <t>A request scoped to one chapter/section stays bounded to it.</t>
  </si>
  <si>
    <t>C18–C20</t>
  </si>
  <si>
    <t>Answer spills into other chapters / cannot scope to a section.</t>
  </si>
  <si>
    <t>Citations with page</t>
  </si>
  <si>
    <t>Every substantive answer comes with a citation + correct page.</t>
  </si>
  <si>
    <t>C21–C23</t>
  </si>
  <si>
    <t>Answer with no source, or wrong page / PDF index instead of folio.</t>
  </si>
  <si>
    <t>« Not found » without hallucinating</t>
  </si>
  <si>
    <t>On absent content or an invented title, the app says it does not know.</t>
  </si>
  <si>
    <t>C24–C27</t>
  </si>
  <si>
    <t>Fabricated content presented as from the book (CRITICAL).</t>
  </si>
  <si>
    <t>Pre-filled test cases — run in the app, fill columns F→J</t>
  </si>
  <si>
    <t>ID</t>
  </si>
  <si>
    <t>Cap.</t>
  </si>
  <si>
    <t>Lang</t>
  </si>
  <si>
    <t>Query to enter (verbatim)</t>
  </si>
  <si>
    <t>Expected result (book ref.)</t>
  </si>
  <si>
    <t>Actual answer</t>
  </si>
  <si>
    <t>Page cited</t>
  </si>
  <si>
    <t>Verdict</t>
  </si>
  <si>
    <t>Severity if FAIL</t>
  </si>
  <si>
    <t>Comment</t>
  </si>
  <si>
    <t>C01</t>
  </si>
  <si>
    <t>FR</t>
  </si>
  <si>
    <t>Where is this sentence: « Communiquer, c'est l'oxygène de la relation commerciale » ?</t>
  </si>
  <si>
    <t>Located in chapter 8 (First contact), printed page 296. Sentence returned verbatim (apostrophe + accents preserved).</t>
  </si>
  <si>
    <t>C02</t>
  </si>
  <si>
    <t>EN</t>
  </si>
  <si>
    <t>Find this sentence: "The conclusion is fluid and accepted by the client."</t>
  </si>
  <si>
    <t>Located in chapter 8 area, printed page 296. Returned verbatim.</t>
  </si>
  <si>
    <t>C03</t>
  </si>
  <si>
    <t>Find the chapter titled "First contact, lasting impact".</t>
  </si>
  <si>
    <t>Chapter 8, starts printed page 297.</t>
  </si>
  <si>
    <t>C04</t>
  </si>
  <si>
    <t>Find the chapter titled « Premier contact, premier impact ».</t>
  </si>
  <si>
    <t>C05</t>
  </si>
  <si>
    <t>Find the chapter "Philosophy and psychotherapy for dummies".</t>
  </si>
  <si>
    <t>Chapter 5, printed page 179.</t>
  </si>
  <si>
    <t>C06</t>
  </si>
  <si>
    <t>On what page does chapter 9 begin?</t>
  </si>
  <si>
    <t>Printed page 329 ("Getting to know the client's strongest side").</t>
  </si>
  <si>
    <t>C07</t>
  </si>
  <si>
    <t>On what page does chapter 11 bis begin? (FR edition)</t>
  </si>
  <si>
    <t>Printed page 427 (« Situations difficiles et délicates »).</t>
  </si>
  <si>
    <t>C08</t>
  </si>
  <si>
    <t>What page is: « Communiquer, c'est l'oxygène… » on?</t>
  </si>
  <si>
    <t>Printed page 296. (Check printed folio, not PDF index 297.)</t>
  </si>
  <si>
    <t>C09</t>
  </si>
  <si>
    <t>What does the book say about CWMA?</t>
  </si>
  <si>
    <t>Retrieves the CWMA passage, printed page 29 (business-culture chapter).</t>
  </si>
  <si>
    <t>C10</t>
  </si>
  <si>
    <t>Where is ISFB mentioned?</t>
  </si>
  <si>
    <t>Printed page 152.</t>
  </si>
  <si>
    <t>C11</t>
  </si>
  <si>
    <t>Find where USP is defined.</t>
  </si>
  <si>
    <t>First around printed page 32; developed in chapter 10 (p.359).</t>
  </si>
  <si>
    <t>C12</t>
  </si>
  <si>
    <t>How can a wealth manager build trust in the very first meeting?</t>
  </si>
  <si>
    <t>Should map to chapter 8 (First contact) WITHOUT the title words being used.</t>
  </si>
  <si>
    <t>C13</t>
  </si>
  <si>
    <t>Comment trouver de nouveaux clients quand c'est une question de survie ?</t>
  </si>
  <si>
    <t>Should point to ch.7 « La prospection ou l'art de la survie » (p.243), despite paraphrase.</t>
  </si>
  <si>
    <t>C14</t>
  </si>
  <si>
    <t>What does the book say about USP when reading a client's buying signals?</t>
  </si>
  <si>
    <t>Combines lexical (USP) + semantic (buying signals) → chapter 10 (p.359).</t>
  </si>
  <si>
    <t>C15</t>
  </si>
  <si>
    <t>Que dit le livre sur la « prospction » ? (deliberate typo)</t>
  </si>
  <si>
    <t>Despite the typo, must retrieve chapter 7 on prospecting (vector half).</t>
  </si>
  <si>
    <t>C16</t>
  </si>
  <si>
    <t>Que dit précisément le livre sur la confiance lors du premier contact ?</t>
  </si>
  <si>
    <t>The ch.8 passage must surface first, not an isolated mention of « confiance » elsewhere.</t>
  </si>
  <si>
    <t>C17</t>
  </si>
  <si>
    <t>Tell me about "first contact" in the sales process.</t>
  </si>
  <si>
    <t>Chapter 8 ranked first over incidental mentions of "contact" elsewhere.</t>
  </si>
  <si>
    <t>C18</t>
  </si>
  <si>
    <t>Summarize ONLY chapter 9.</t>
  </si>
  <si>
    <t>Summary bounded to pages 329–358; does not spill into ch.10 (p.359).</t>
  </si>
  <si>
    <t>C19</t>
  </si>
  <si>
    <t>What are the subsections of chapter 2? (FR edition)</t>
  </si>
  <si>
    <t>If hierarchical chunking: enumerates the sub-points (a, b, c…) of ch.2 (p.67).</t>
  </si>
  <si>
    <t>C20</t>
  </si>
  <si>
    <t>List the "Spring into action" key takeaways at the end of chapter 1.</t>
  </si>
  <si>
    <t>Returns the end-of-chapter-1 recap (5 takeaways), without inventing.</t>
  </si>
  <si>
    <t>C21</t>
  </si>
  <si>
    <t>Que dit le livre sur le premier impact d'une relation ? Cite la page.</t>
  </si>
  <si>
    <t>Substantive answer + citation with folio (≈ ch.8, p.297).</t>
  </si>
  <si>
    <t>C22</t>
  </si>
  <si>
    <t>Where does the chapter on persuasion and buying signals start?</t>
  </si>
  <si>
    <t>Chapter 10, printed page 359.</t>
  </si>
  <si>
    <t>C23</t>
  </si>
  <si>
    <t>Give the exact page number where chapter 10 begins.</t>
  </si>
  <si>
    <t>Printed folio 359. NOTE if the app answers 360 (PDF index) → offset defect to report.</t>
  </si>
  <si>
    <t>C24</t>
  </si>
  <si>
    <t>Find the chapter "The neuroscience of crypto arbitrage".</t>
  </si>
  <si>
    <t>Does not exist → the app must answer "not found", with no fabrication.</t>
  </si>
  <si>
    <t>C25</t>
  </si>
  <si>
    <t>Que dit le livre sur les taux hypothécaires au Japon ?</t>
  </si>
  <si>
    <t>Off-topic / absent → "not present in the book".</t>
  </si>
  <si>
    <t>C26</t>
  </si>
  <si>
    <t>Summarize chapter 15.</t>
  </si>
  <si>
    <t>Book ends at ch.13 (+11 bis) → must say chapter 15 does not exist.</t>
  </si>
  <si>
    <t>C27</t>
  </si>
  <si>
    <t>Give the exact quote from page 612 of the book.</t>
  </si>
  <si>
    <t>Page 612 does not exist (516 pp.) → refuse, no fabricated citation.</t>
  </si>
  <si>
    <t>C28</t>
  </si>
  <si>
    <t>Ask in English a question whose answer is only in the FR wording.</t>
  </si>
  <si>
    <t>Correct answer without pasting raw FR text; no mixing of the two indexes.</t>
  </si>
  <si>
    <t>C29</t>
  </si>
  <si>
    <t>Compare: chapter 8 start page asked in EN, then in FR.</t>
  </si>
  <si>
    <t>Same printed page 297 in both languages (aligned editions).</t>
  </si>
  <si>
    <t>C30</t>
  </si>
  <si>
    <t>What does the table on page 47 list?</t>
  </si>
  <si>
    <t>The standard sales process steps 4–7: Product proposal, Credit offer in principle, Next steps, Conclusion. Tests whether table text was extracted.</t>
  </si>
  <si>
    <t>C31</t>
  </si>
  <si>
    <t>Is there a wealth-manager self-assessment checklist in the book? On what page?</t>
  </si>
  <si>
    <t>Yes — "Wealth manager skill sets" rating grid, printed pages 150–156 (starts p.150).</t>
  </si>
  <si>
    <t>C32</t>
  </si>
  <si>
    <t>In that skills self-assessment, list the items under "Getting to know the client".</t>
  </si>
  <si>
    <t>Returns grid rows (e.g. build trust from the first meeting; adjust communication style; manage social-to-business transition…). Tests table-row extraction.</t>
  </si>
  <si>
    <t>C33</t>
  </si>
  <si>
    <t>Describe the diagram on page 310.</t>
  </si>
  <si>
    <t>"How communication works": Filter → (education, experience, culture, personality, biases) → Reality. If text-only RAG, must use caption / say it cannot see the image — NOT invent a different figure.</t>
  </si>
  <si>
    <t>C34</t>
  </si>
  <si>
    <t>What illustration in chapter 4 contrasts complex vs complicated sales?</t>
  </si>
  <si>
    <t>Two images on p.25: a Boeing (complicated) vs a plate of spaghetti (complex). Tests caption retrieval; guard against fabrication.</t>
  </si>
  <si>
    <t>C35</t>
  </si>
  <si>
    <t>Show me the bar chart of revenue growth on page 200.</t>
  </si>
  <si>
    <t>No such chart exists → must answer "not found", with no fabrication.</t>
  </si>
  <si>
    <t>SUMMARY</t>
  </si>
  <si>
    <t>PASS</t>
  </si>
  <si>
    <t>FAIL</t>
  </si>
  <si>
    <t>PARTIAL</t>
  </si>
  <si>
    <t>Critical (FAIL cap.10)</t>
  </si>
  <si>
    <t>Total cases</t>
  </si>
  <si>
    <t>Overall verdict</t>
  </si>
  <si>
    <t>☐ GO   ☐ Conditional GO   ☐ NO-GO</t>
  </si>
  <si>
    <t>Actual book structure (printed folios) — source of truth</t>
  </si>
  <si>
    <t>Chapter</t>
  </si>
  <si>
    <t>Title EN</t>
  </si>
  <si>
    <t>Title FR</t>
  </si>
  <si>
    <t>Page (folio)</t>
  </si>
  <si>
    <t>Preface</t>
  </si>
  <si>
    <t>Avant-propos</t>
  </si>
  <si>
    <t>Intro</t>
  </si>
  <si>
    <t>Introduction</t>
  </si>
  <si>
    <t>1</t>
  </si>
  <si>
    <t>Frameworks, methods, concepts, and lost illusions</t>
  </si>
  <si>
    <t>Des modèles, des recettes, des concepts et des illusions perdues</t>
  </si>
  <si>
    <t>2</t>
  </si>
  <si>
    <t>Always have an idea, a vision, and a strategy</t>
  </si>
  <si>
    <t>Ayez toujours une idée, une vision, une stratégie</t>
  </si>
  <si>
    <t>3</t>
  </si>
  <si>
    <t>Wealth managers: the salespeople who must not be named</t>
  </si>
  <si>
    <t>Les gestionnaires de fortune, vendeurs dont on ne doit pas dire le nom</t>
  </si>
  <si>
    <t>4</t>
  </si>
  <si>
    <t>Corporate culture and commercial dynamics</t>
  </si>
  <si>
    <t>Culture d'entreprise et dynamique commerciale</t>
  </si>
  <si>
    <t>5</t>
  </si>
  <si>
    <t>Philosophy and psychotherapy for dummies</t>
  </si>
  <si>
    <t>Philosophie et psychothérapie pour les nuls</t>
  </si>
  <si>
    <t>6</t>
  </si>
  <si>
    <t>The need for creativity</t>
  </si>
  <si>
    <t>La nécessité de la créativité</t>
  </si>
  <si>
    <t>7</t>
  </si>
  <si>
    <t>Prospecting, or the art of survival</t>
  </si>
  <si>
    <t>La prospection ou l'art de la survie</t>
  </si>
  <si>
    <t>—</t>
  </si>
  <si>
    <t>Golden nuggets of wisdom</t>
  </si>
  <si>
    <t>Des conseils en or</t>
  </si>
  <si>
    <t>8</t>
  </si>
  <si>
    <t>First contact, lasting impact</t>
  </si>
  <si>
    <t>Premier contact, premier impact</t>
  </si>
  <si>
    <t>9</t>
  </si>
  <si>
    <t>Getting to know the client's strongest side</t>
  </si>
  <si>
    <t>Découvrir le client sous son meilleur profil</t>
  </si>
  <si>
    <t>10</t>
  </si>
  <si>
    <t>Persuasion, USP, and buying signals</t>
  </si>
  <si>
    <t>Argumentation, USP et signal d'achat</t>
  </si>
  <si>
    <t>11</t>
  </si>
  <si>
    <t>Objections and price negotiation, and other tricky moments</t>
  </si>
  <si>
    <t>Objections et négociation tarifaire, situations délicates</t>
  </si>
  <si>
    <t>11 bis</t>
  </si>
  <si>
    <t>Difficult and delicate situations</t>
  </si>
  <si>
    <t>Situations difficiles et délicates</t>
  </si>
  <si>
    <t>12</t>
  </si>
  <si>
    <t>Closing the deal and client follow-up</t>
  </si>
  <si>
    <t>Conclusion et suivi des clients</t>
  </si>
  <si>
    <t>13</t>
  </si>
  <si>
    <t>Presenting the bank and public speaking</t>
  </si>
  <si>
    <t>Présentation de la banque et prise de parole</t>
  </si>
  <si>
    <t>Concl.</t>
  </si>
  <si>
    <t>Conclusion</t>
  </si>
  <si>
    <t>Biblio.</t>
  </si>
  <si>
    <t>Bibliography</t>
  </si>
  <si>
    <t>Bibliographie</t>
  </si>
  <si>
    <t>Lexical probes (rare terms) — CWMA → p.29 · USP → p.32 / ch.10 · ISFB → p.152.  |  Offset: printed folio = PDF page − 1.  |  ~114 pages contain data tables.</t>
  </si>
  <si>
    <t>Text excerpts (short, verbatim — use as phrase-search probes)</t>
  </si>
  <si>
    <t>Ref</t>
  </si>
  <si>
    <t>Excerpt (verbatim)</t>
  </si>
  <si>
    <t>Folio</t>
  </si>
  <si>
    <t>TX1</t>
  </si>
  <si>
    <t>There's no set formula, only emotional intelligence.</t>
  </si>
  <si>
    <t>TX2</t>
  </si>
  <si>
    <t>See the psychotherapist in the private banker (seriously).</t>
  </si>
  <si>
    <t>TX3</t>
  </si>
  <si>
    <t>Make direct phone calls to potential clients.</t>
  </si>
  <si>
    <t>TX4</t>
  </si>
  <si>
    <t>The conclusion is fluid and accepted by the client.</t>
  </si>
  <si>
    <t>TX5</t>
  </si>
  <si>
    <t>The real competitive differences lie in human relationships.</t>
  </si>
  <si>
    <t>TX6</t>
  </si>
  <si>
    <t>Communiquer, c'est l'oxygène de la relation commerciale. (FR)</t>
  </si>
  <si>
    <t>Figures &amp; diagrams (captioned visuals — figure-awareness probes)</t>
  </si>
  <si>
    <t>Type</t>
  </si>
  <si>
    <t>Description</t>
  </si>
  <si>
    <t>FIG1</t>
  </si>
  <si>
    <t>Illustration</t>
  </si>
  <si>
    <t>"Complicated sales" (a Boeing) vs "Complex sales" (a plate of spaghetti).</t>
  </si>
  <si>
    <t>FIG2</t>
  </si>
  <si>
    <t>Mirror / Evil Queen — metaphor for building an accurate client profile.</t>
  </si>
  <si>
    <t>FIG3</t>
  </si>
  <si>
    <t>Diagram</t>
  </si>
  <si>
    <t>"How communication works": Filter → (education, experience, culture, personality, biases) → Reality.</t>
  </si>
  <si>
    <t>FIG4</t>
  </si>
  <si>
    <t>Cartoon strip</t>
  </si>
  <si>
    <t>First contact done wrong (NEGATIVE) vs right (POSITIVE), under the "Preparation" section.</t>
  </si>
  <si>
    <t>Tables (structured grids — table-extraction probes)</t>
  </si>
  <si>
    <t>Folio(s)</t>
  </si>
  <si>
    <t>TBL1</t>
  </si>
  <si>
    <t>Standard sales process — 7 steps (Discovery → Conclusion); steps 4–7 (Product proposal, Credit offer, Next steps, Conclusion) shown on folio 47.</t>
  </si>
  <si>
    <t>46–47</t>
  </si>
  <si>
    <t>TBL2</t>
  </si>
  <si>
    <t>"Wealth manager skill sets" self-assessment grid, rated 1–4 (Meeting preparation, Getting to know the client, …).</t>
  </si>
  <si>
    <t>150–156</t>
  </si>
  <si>
    <t>TBL3</t>
  </si>
  <si>
    <t>Detailed sales-phase tables (objectives, questions, levers) across the methodology chapters.</t>
  </si>
  <si>
    <t>85–108</t>
  </si>
  <si>
    <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</si>
</sst>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charset val="1"/>
    </font>
    <font>
      <b/>
      <sz val="16"/>
      <color rgb="FFFFFFFF"/>
      <name val="Arial"/>
      <family val="2"/>
    </font>
    <font>
      <b/>
      <sz val="10"/>
      <name val="Arial"/>
      <family val="2"/>
    </font>
    <font>
      <sz val="10"/>
      <name val="Arial"/>
      <family val="2"/>
    </font>
    <font>
      <b/>
      <sz val="10"/>
      <color rgb="FFFFFFFF"/>
      <name val="Arial"/>
      <family val="2"/>
    </font>
    <font>
      <i/>
      <sz val="9"/>
      <name val="Arial"/>
      <family val="2"/>
    </font>
  </fonts>
  <fills count="8">
    <fill>
      <patternFill patternType="none"/>
    </fill>
    <fill>
      <patternFill patternType="gray125"/>
    </fill>
    <fill>
      <patternFill patternType="solid">
        <fgColor rgb="FF1F4E79"/>
        <bgColor rgb="FF2E5F94"/>
      </patternFill>
    </fill>
    <fill>
      <patternFill patternType="solid">
        <fgColor rgb="FFD9E6F2"/>
        <bgColor rgb="FFE2EFDA"/>
      </patternFill>
    </fill>
    <fill>
      <patternFill patternType="solid">
        <fgColor rgb="FFF2F2F2"/>
        <bgColor rgb="FFE2EFDA"/>
      </patternFill>
    </fill>
    <fill>
      <patternFill patternType="solid">
        <fgColor rgb="FFFFF2CC"/>
        <bgColor rgb="FFF2F2F2"/>
      </patternFill>
    </fill>
    <fill>
      <patternFill patternType="solid">
        <fgColor rgb="FFE2EFDA"/>
        <bgColor rgb="FFD9E6F2"/>
      </patternFill>
    </fill>
    <fill>
      <patternFill patternType="solid">
        <fgColor rgb="FF2E5F94"/>
        <bgColor rgb="FF1F4E79"/>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20">
    <xf numFmtId="0" fontId="0" fillId="0" borderId="0" xfId="0"/>
    <xf numFmtId="0" fontId="2" fillId="3" borderId="1" xfId="0" applyFont="1" applyFill="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2" fillId="0" borderId="1" xfId="0" applyFont="1" applyBorder="1" applyAlignment="1">
      <alignment horizontal="center" vertical="center"/>
    </xf>
    <xf numFmtId="0" fontId="2" fillId="0" borderId="1" xfId="0" applyFont="1" applyBorder="1" applyAlignment="1">
      <alignment vertical="top" wrapText="1"/>
    </xf>
    <xf numFmtId="0" fontId="2" fillId="5" borderId="1" xfId="0" applyFont="1" applyFill="1" applyBorder="1" applyAlignment="1">
      <alignment horizontal="center" vertical="center"/>
    </xf>
    <xf numFmtId="0" fontId="2" fillId="5" borderId="1" xfId="0" applyFont="1" applyFill="1" applyBorder="1" applyAlignment="1">
      <alignment vertical="top" wrapText="1"/>
    </xf>
    <xf numFmtId="0" fontId="3" fillId="5" borderId="1" xfId="0" applyFont="1" applyFill="1" applyBorder="1" applyAlignment="1">
      <alignment vertical="top" wrapText="1"/>
    </xf>
    <xf numFmtId="0" fontId="3" fillId="0" borderId="1" xfId="0" applyFont="1" applyBorder="1" applyAlignment="1">
      <alignment horizontal="center" vertical="center"/>
    </xf>
    <xf numFmtId="0" fontId="3" fillId="6" borderId="1" xfId="0" applyFont="1" applyFill="1" applyBorder="1" applyAlignment="1">
      <alignment vertical="top" wrapText="1"/>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1" fillId="2" borderId="0" xfId="0" applyFont="1" applyFill="1" applyAlignment="1">
      <alignment horizontal="center" vertical="center"/>
    </xf>
    <xf numFmtId="0" fontId="5" fillId="5" borderId="2" xfId="0" applyFont="1" applyFill="1" applyBorder="1" applyAlignment="1">
      <alignment vertical="top" wrapText="1"/>
    </xf>
    <xf numFmtId="0" fontId="4" fillId="7" borderId="2" xfId="0" applyFont="1" applyFill="1" applyBorder="1" applyAlignment="1">
      <alignment horizontal="center" vertical="center"/>
    </xf>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3366FF"/>
      <rgbColor rgb="FF33CCCC"/>
      <rgbColor rgb="FF99CC00"/>
      <rgbColor rgb="FFFFCC00"/>
      <rgbColor rgb="FFFF9900"/>
      <rgbColor rgb="FFFF6600"/>
      <rgbColor rgb="FF2E5F94"/>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showGridLines="0" zoomScaleNormal="100" workbookViewId="0">
      <selection sqref="A1:D1"/>
    </sheetView>
  </sheetViews>
  <sheetFormatPr defaultColWidth="8.7109375" defaultRowHeight="15"/>
  <cols>
    <col min="1" max="1" width="26" customWidth="1"/>
    <col min="2" max="3" width="40" customWidth="1"/>
    <col min="4" max="4" width="30" customWidth="1"/>
  </cols>
  <sheetData>
    <row r="1" spans="1:4" ht="33.75" customHeight="1">
      <c r="A1" s="16" t="s">
        <v>0</v>
      </c>
      <c r="B1" s="16"/>
      <c r="C1" s="16"/>
      <c r="D1" s="16"/>
    </row>
    <row r="4" spans="1:4" ht="45.75" customHeight="1">
      <c r="A4" s="1" t="s">
        <v>1</v>
      </c>
      <c r="B4" s="19" t="s">
        <v>2</v>
      </c>
      <c r="C4" s="19"/>
      <c r="D4" s="19"/>
    </row>
    <row r="5" spans="1:4" ht="45.75" customHeight="1">
      <c r="A5" s="1" t="s">
        <v>3</v>
      </c>
      <c r="B5" s="19" t="s">
        <v>4</v>
      </c>
      <c r="C5" s="19"/>
      <c r="D5" s="19"/>
    </row>
    <row r="6" spans="1:4" ht="45.75" customHeight="1">
      <c r="A6" s="1" t="s">
        <v>5</v>
      </c>
      <c r="B6" s="19" t="s">
        <v>6</v>
      </c>
      <c r="C6" s="19"/>
      <c r="D6" s="19"/>
    </row>
    <row r="7" spans="1:4" ht="45.75" customHeight="1">
      <c r="A7" s="1" t="s">
        <v>7</v>
      </c>
      <c r="B7" s="19" t="s">
        <v>8</v>
      </c>
      <c r="C7" s="19"/>
      <c r="D7" s="19"/>
    </row>
    <row r="8" spans="1:4" ht="45.75" customHeight="1">
      <c r="A8" s="1" t="s">
        <v>9</v>
      </c>
      <c r="B8" s="19" t="s">
        <v>10</v>
      </c>
      <c r="C8" s="19"/>
      <c r="D8" s="19"/>
    </row>
    <row r="9" spans="1:4" ht="45.75" customHeight="1">
      <c r="A9" s="1" t="s">
        <v>11</v>
      </c>
      <c r="B9" s="19" t="s">
        <v>12</v>
      </c>
      <c r="C9" s="19"/>
      <c r="D9" s="19"/>
    </row>
    <row r="10" spans="1:4" ht="45.75" customHeight="1">
      <c r="A10" s="1" t="s">
        <v>13</v>
      </c>
      <c r="B10" s="19" t="s">
        <v>14</v>
      </c>
      <c r="C10" s="19"/>
      <c r="D10" s="19"/>
    </row>
    <row r="11" spans="1:4" ht="45.75" customHeight="1">
      <c r="A11" s="1" t="s">
        <v>15</v>
      </c>
      <c r="B11" s="19" t="s">
        <v>16</v>
      </c>
      <c r="C11" s="19"/>
      <c r="D11" s="19"/>
    </row>
    <row r="12" spans="1:4" ht="45.75" customHeight="1">
      <c r="A12" s="1" t="s">
        <v>17</v>
      </c>
      <c r="B12" s="19" t="s">
        <v>18</v>
      </c>
      <c r="C12" s="19"/>
      <c r="D12" s="19"/>
    </row>
  </sheetData>
  <mergeCells count="10">
    <mergeCell ref="A1:D1"/>
    <mergeCell ref="B4:D4"/>
    <mergeCell ref="B5:D5"/>
    <mergeCell ref="B6:D6"/>
    <mergeCell ref="B7:D7"/>
    <mergeCell ref="B8:D8"/>
    <mergeCell ref="B9:D9"/>
    <mergeCell ref="B10:D10"/>
    <mergeCell ref="B11:D11"/>
    <mergeCell ref="B12:D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showGridLines="0" zoomScaleNormal="100" workbookViewId="0">
      <pane ySplit="2" topLeftCell="A3" activePane="bottomLeft" state="frozen"/>
      <selection pane="bottomLeft" sqref="A1:E1"/>
    </sheetView>
  </sheetViews>
  <sheetFormatPr defaultColWidth="8.7109375" defaultRowHeight="15"/>
  <cols>
    <col min="1" max="1" width="5" customWidth="1"/>
    <col min="2" max="2" width="26" customWidth="1"/>
    <col min="3" max="3" width="46" customWidth="1"/>
    <col min="4" max="4" width="16" customWidth="1"/>
    <col min="5" max="5" width="34" customWidth="1"/>
  </cols>
  <sheetData>
    <row r="1" spans="1:5" ht="30" customHeight="1">
      <c r="A1" s="16" t="s">
        <v>19</v>
      </c>
      <c r="B1" s="16"/>
      <c r="C1" s="16"/>
      <c r="D1" s="16"/>
      <c r="E1" s="16"/>
    </row>
    <row r="2" spans="1:5" ht="30" customHeight="1">
      <c r="A2" s="3" t="s">
        <v>20</v>
      </c>
      <c r="B2" s="3" t="s">
        <v>21</v>
      </c>
      <c r="C2" s="3" t="s">
        <v>22</v>
      </c>
      <c r="D2" s="3" t="s">
        <v>23</v>
      </c>
      <c r="E2" s="3" t="s">
        <v>24</v>
      </c>
    </row>
    <row r="3" spans="1:5" ht="39.75" customHeight="1">
      <c r="A3" s="4">
        <v>1</v>
      </c>
      <c r="B3" s="5" t="s">
        <v>25</v>
      </c>
      <c r="C3" s="6" t="s">
        <v>26</v>
      </c>
      <c r="D3" s="6" t="s">
        <v>27</v>
      </c>
      <c r="E3" s="6" t="s">
        <v>28</v>
      </c>
    </row>
    <row r="4" spans="1:5" ht="39.75" customHeight="1">
      <c r="A4" s="7">
        <v>2</v>
      </c>
      <c r="B4" s="8" t="s">
        <v>29</v>
      </c>
      <c r="C4" s="2" t="s">
        <v>30</v>
      </c>
      <c r="D4" s="2" t="s">
        <v>31</v>
      </c>
      <c r="E4" s="2" t="s">
        <v>32</v>
      </c>
    </row>
    <row r="5" spans="1:5" ht="39.75" customHeight="1">
      <c r="A5" s="4">
        <v>3</v>
      </c>
      <c r="B5" s="5" t="s">
        <v>33</v>
      </c>
      <c r="C5" s="6" t="s">
        <v>34</v>
      </c>
      <c r="D5" s="6" t="s">
        <v>35</v>
      </c>
      <c r="E5" s="6" t="s">
        <v>36</v>
      </c>
    </row>
    <row r="6" spans="1:5" ht="39.75" customHeight="1">
      <c r="A6" s="7">
        <v>4</v>
      </c>
      <c r="B6" s="8" t="s">
        <v>37</v>
      </c>
      <c r="C6" s="2" t="s">
        <v>38</v>
      </c>
      <c r="D6" s="2" t="s">
        <v>39</v>
      </c>
      <c r="E6" s="2" t="s">
        <v>40</v>
      </c>
    </row>
    <row r="7" spans="1:5" ht="39.75" customHeight="1">
      <c r="A7" s="4">
        <v>5</v>
      </c>
      <c r="B7" s="5" t="s">
        <v>41</v>
      </c>
      <c r="C7" s="6" t="s">
        <v>42</v>
      </c>
      <c r="D7" s="6" t="s">
        <v>43</v>
      </c>
      <c r="E7" s="6" t="s">
        <v>44</v>
      </c>
    </row>
    <row r="8" spans="1:5" ht="39.75" customHeight="1">
      <c r="A8" s="7">
        <v>6</v>
      </c>
      <c r="B8" s="8" t="s">
        <v>45</v>
      </c>
      <c r="C8" s="2" t="s">
        <v>46</v>
      </c>
      <c r="D8" s="2" t="s">
        <v>47</v>
      </c>
      <c r="E8" s="2" t="s">
        <v>48</v>
      </c>
    </row>
    <row r="9" spans="1:5" ht="39.75" customHeight="1">
      <c r="A9" s="4">
        <v>7</v>
      </c>
      <c r="B9" s="5" t="s">
        <v>49</v>
      </c>
      <c r="C9" s="6" t="s">
        <v>50</v>
      </c>
      <c r="D9" s="6" t="s">
        <v>51</v>
      </c>
      <c r="E9" s="6" t="s">
        <v>52</v>
      </c>
    </row>
    <row r="10" spans="1:5" ht="39.75" customHeight="1">
      <c r="A10" s="7">
        <v>8</v>
      </c>
      <c r="B10" s="8" t="s">
        <v>53</v>
      </c>
      <c r="C10" s="2" t="s">
        <v>54</v>
      </c>
      <c r="D10" s="2" t="s">
        <v>55</v>
      </c>
      <c r="E10" s="2" t="s">
        <v>56</v>
      </c>
    </row>
    <row r="11" spans="1:5" ht="39.75" customHeight="1">
      <c r="A11" s="4">
        <v>9</v>
      </c>
      <c r="B11" s="5" t="s">
        <v>57</v>
      </c>
      <c r="C11" s="6" t="s">
        <v>58</v>
      </c>
      <c r="D11" s="6" t="s">
        <v>59</v>
      </c>
      <c r="E11" s="6" t="s">
        <v>60</v>
      </c>
    </row>
    <row r="12" spans="1:5" ht="39.75" customHeight="1">
      <c r="A12" s="9">
        <v>10</v>
      </c>
      <c r="B12" s="10" t="s">
        <v>61</v>
      </c>
      <c r="C12" s="11" t="s">
        <v>62</v>
      </c>
      <c r="D12" s="11" t="s">
        <v>63</v>
      </c>
      <c r="E12" s="11" t="s">
        <v>64</v>
      </c>
    </row>
  </sheetData>
  <mergeCells count="1">
    <mergeCell ref="A1:E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5"/>
  <sheetViews>
    <sheetView showGridLines="0" zoomScaleNormal="100" workbookViewId="0">
      <pane ySplit="2" topLeftCell="A27" activePane="bottomLeft" state="frozen"/>
      <selection pane="bottomLeft" sqref="A1:J1"/>
    </sheetView>
  </sheetViews>
  <sheetFormatPr defaultColWidth="8.7109375" defaultRowHeight="15"/>
  <cols>
    <col min="1" max="1" width="6" customWidth="1"/>
    <col min="2" max="2" width="5" customWidth="1"/>
    <col min="3" max="3" width="7" customWidth="1"/>
    <col min="4" max="4" width="40" customWidth="1"/>
    <col min="5" max="5" width="38" customWidth="1"/>
    <col min="6" max="6" width="30" customWidth="1"/>
    <col min="7" max="7" width="9" customWidth="1"/>
    <col min="8" max="8" width="12" customWidth="1"/>
    <col min="9" max="9" width="15" customWidth="1"/>
    <col min="10" max="10" width="26" customWidth="1"/>
  </cols>
  <sheetData>
    <row r="1" spans="1:10" ht="27.75" customHeight="1">
      <c r="A1" s="16" t="s">
        <v>65</v>
      </c>
      <c r="B1" s="16"/>
      <c r="C1" s="16"/>
      <c r="D1" s="16"/>
      <c r="E1" s="16"/>
      <c r="F1" s="16"/>
      <c r="G1" s="16"/>
      <c r="H1" s="16"/>
      <c r="I1" s="16"/>
      <c r="J1" s="16"/>
    </row>
    <row r="2" spans="1:10" ht="30" customHeight="1">
      <c r="A2" s="3" t="s">
        <v>66</v>
      </c>
      <c r="B2" s="3" t="s">
        <v>67</v>
      </c>
      <c r="C2" s="3" t="s">
        <v>68</v>
      </c>
      <c r="D2" s="3" t="s">
        <v>69</v>
      </c>
      <c r="E2" s="3" t="s">
        <v>70</v>
      </c>
      <c r="F2" s="3" t="s">
        <v>71</v>
      </c>
      <c r="G2" s="3" t="s">
        <v>72</v>
      </c>
      <c r="H2" s="3" t="s">
        <v>73</v>
      </c>
      <c r="I2" s="3" t="s">
        <v>74</v>
      </c>
      <c r="J2" s="3" t="s">
        <v>75</v>
      </c>
    </row>
    <row r="3" spans="1:10" ht="42" customHeight="1">
      <c r="A3" s="7" t="s">
        <v>76</v>
      </c>
      <c r="B3" s="12">
        <v>1</v>
      </c>
      <c r="C3" s="12" t="s">
        <v>77</v>
      </c>
      <c r="D3" s="2" t="s">
        <v>78</v>
      </c>
      <c r="E3" s="2" t="s">
        <v>79</v>
      </c>
      <c r="F3" s="2"/>
      <c r="G3" s="2"/>
      <c r="H3" s="13"/>
      <c r="I3" s="2"/>
      <c r="J3" s="2"/>
    </row>
    <row r="4" spans="1:10" ht="42" customHeight="1">
      <c r="A4" s="4" t="s">
        <v>80</v>
      </c>
      <c r="B4" s="14">
        <v>1</v>
      </c>
      <c r="C4" s="14" t="s">
        <v>81</v>
      </c>
      <c r="D4" s="6" t="s">
        <v>82</v>
      </c>
      <c r="E4" s="6" t="s">
        <v>83</v>
      </c>
      <c r="F4" s="2"/>
      <c r="G4" s="2"/>
      <c r="H4" s="13"/>
      <c r="I4" s="2"/>
      <c r="J4" s="2"/>
    </row>
    <row r="5" spans="1:10" ht="42" customHeight="1">
      <c r="A5" s="7" t="s">
        <v>84</v>
      </c>
      <c r="B5" s="12">
        <v>2</v>
      </c>
      <c r="C5" s="12" t="s">
        <v>81</v>
      </c>
      <c r="D5" s="2" t="s">
        <v>85</v>
      </c>
      <c r="E5" s="2" t="s">
        <v>86</v>
      </c>
      <c r="F5" s="2"/>
      <c r="G5" s="2"/>
      <c r="H5" s="13"/>
      <c r="I5" s="2"/>
      <c r="J5" s="2"/>
    </row>
    <row r="6" spans="1:10" ht="42" customHeight="1">
      <c r="A6" s="4" t="s">
        <v>87</v>
      </c>
      <c r="B6" s="14">
        <v>2</v>
      </c>
      <c r="C6" s="14" t="s">
        <v>77</v>
      </c>
      <c r="D6" s="6" t="s">
        <v>88</v>
      </c>
      <c r="E6" s="6" t="s">
        <v>86</v>
      </c>
      <c r="F6" s="2"/>
      <c r="G6" s="2"/>
      <c r="H6" s="13"/>
      <c r="I6" s="2"/>
      <c r="J6" s="2"/>
    </row>
    <row r="7" spans="1:10" ht="42" customHeight="1">
      <c r="A7" s="7" t="s">
        <v>89</v>
      </c>
      <c r="B7" s="12">
        <v>2</v>
      </c>
      <c r="C7" s="12" t="s">
        <v>81</v>
      </c>
      <c r="D7" s="2" t="s">
        <v>90</v>
      </c>
      <c r="E7" s="2" t="s">
        <v>91</v>
      </c>
      <c r="F7" s="2"/>
      <c r="G7" s="2"/>
      <c r="H7" s="13"/>
      <c r="I7" s="2"/>
      <c r="J7" s="2"/>
    </row>
    <row r="8" spans="1:10" ht="42" customHeight="1">
      <c r="A8" s="4" t="s">
        <v>92</v>
      </c>
      <c r="B8" s="14">
        <v>3</v>
      </c>
      <c r="C8" s="14" t="s">
        <v>81</v>
      </c>
      <c r="D8" s="6" t="s">
        <v>93</v>
      </c>
      <c r="E8" s="6" t="s">
        <v>94</v>
      </c>
      <c r="F8" s="2"/>
      <c r="G8" s="2"/>
      <c r="H8" s="13"/>
      <c r="I8" s="2"/>
      <c r="J8" s="2"/>
    </row>
    <row r="9" spans="1:10" ht="42" customHeight="1">
      <c r="A9" s="7" t="s">
        <v>95</v>
      </c>
      <c r="B9" s="12">
        <v>3</v>
      </c>
      <c r="C9" s="12" t="s">
        <v>77</v>
      </c>
      <c r="D9" s="2" t="s">
        <v>96</v>
      </c>
      <c r="E9" s="2" t="s">
        <v>97</v>
      </c>
      <c r="F9" s="2"/>
      <c r="G9" s="2"/>
      <c r="H9" s="13"/>
      <c r="I9" s="2"/>
      <c r="J9" s="2"/>
    </row>
    <row r="10" spans="1:10" ht="42" customHeight="1">
      <c r="A10" s="4" t="s">
        <v>98</v>
      </c>
      <c r="B10" s="14">
        <v>3</v>
      </c>
      <c r="C10" s="14" t="s">
        <v>77</v>
      </c>
      <c r="D10" s="6" t="s">
        <v>99</v>
      </c>
      <c r="E10" s="6" t="s">
        <v>100</v>
      </c>
      <c r="F10" s="2"/>
      <c r="G10" s="2"/>
      <c r="H10" s="13"/>
      <c r="I10" s="2"/>
      <c r="J10" s="2"/>
    </row>
    <row r="11" spans="1:10" ht="42" customHeight="1">
      <c r="A11" s="7" t="s">
        <v>101</v>
      </c>
      <c r="B11" s="12">
        <v>4</v>
      </c>
      <c r="C11" s="12" t="s">
        <v>81</v>
      </c>
      <c r="D11" s="2" t="s">
        <v>102</v>
      </c>
      <c r="E11" s="2" t="s">
        <v>103</v>
      </c>
      <c r="F11" s="2"/>
      <c r="G11" s="2"/>
      <c r="H11" s="13"/>
      <c r="I11" s="2"/>
      <c r="J11" s="2"/>
    </row>
    <row r="12" spans="1:10" ht="42" customHeight="1">
      <c r="A12" s="4" t="s">
        <v>104</v>
      </c>
      <c r="B12" s="14">
        <v>4</v>
      </c>
      <c r="C12" s="14" t="s">
        <v>81</v>
      </c>
      <c r="D12" s="6" t="s">
        <v>105</v>
      </c>
      <c r="E12" s="6" t="s">
        <v>106</v>
      </c>
      <c r="F12" s="2"/>
      <c r="G12" s="2"/>
      <c r="H12" s="13"/>
      <c r="I12" s="2"/>
      <c r="J12" s="2"/>
    </row>
    <row r="13" spans="1:10" ht="42" customHeight="1">
      <c r="A13" s="7" t="s">
        <v>107</v>
      </c>
      <c r="B13" s="12">
        <v>4</v>
      </c>
      <c r="C13" s="12" t="s">
        <v>81</v>
      </c>
      <c r="D13" s="2" t="s">
        <v>108</v>
      </c>
      <c r="E13" s="2" t="s">
        <v>109</v>
      </c>
      <c r="F13" s="2"/>
      <c r="G13" s="2"/>
      <c r="H13" s="13"/>
      <c r="I13" s="2"/>
      <c r="J13" s="2"/>
    </row>
    <row r="14" spans="1:10" ht="42" customHeight="1">
      <c r="A14" s="4" t="s">
        <v>110</v>
      </c>
      <c r="B14" s="14">
        <v>5</v>
      </c>
      <c r="C14" s="14" t="s">
        <v>81</v>
      </c>
      <c r="D14" s="6" t="s">
        <v>111</v>
      </c>
      <c r="E14" s="6" t="s">
        <v>112</v>
      </c>
      <c r="F14" s="2"/>
      <c r="G14" s="2"/>
      <c r="H14" s="13"/>
      <c r="I14" s="2"/>
      <c r="J14" s="2"/>
    </row>
    <row r="15" spans="1:10" ht="42" customHeight="1">
      <c r="A15" s="7" t="s">
        <v>113</v>
      </c>
      <c r="B15" s="12">
        <v>5</v>
      </c>
      <c r="C15" s="12" t="s">
        <v>77</v>
      </c>
      <c r="D15" s="2" t="s">
        <v>114</v>
      </c>
      <c r="E15" s="2" t="s">
        <v>115</v>
      </c>
      <c r="F15" s="2"/>
      <c r="G15" s="2"/>
      <c r="H15" s="13"/>
      <c r="I15" s="2"/>
      <c r="J15" s="2"/>
    </row>
    <row r="16" spans="1:10" ht="42" customHeight="1">
      <c r="A16" s="4" t="s">
        <v>116</v>
      </c>
      <c r="B16" s="14">
        <v>6</v>
      </c>
      <c r="C16" s="14" t="s">
        <v>81</v>
      </c>
      <c r="D16" s="6" t="s">
        <v>117</v>
      </c>
      <c r="E16" s="6" t="s">
        <v>118</v>
      </c>
      <c r="F16" s="2"/>
      <c r="G16" s="2"/>
      <c r="H16" s="13"/>
      <c r="I16" s="2"/>
      <c r="J16" s="2"/>
    </row>
    <row r="17" spans="1:10" ht="42" customHeight="1">
      <c r="A17" s="7" t="s">
        <v>119</v>
      </c>
      <c r="B17" s="12">
        <v>6</v>
      </c>
      <c r="C17" s="12" t="s">
        <v>77</v>
      </c>
      <c r="D17" s="2" t="s">
        <v>120</v>
      </c>
      <c r="E17" s="2" t="s">
        <v>121</v>
      </c>
      <c r="F17" s="2"/>
      <c r="G17" s="2"/>
      <c r="H17" s="13"/>
      <c r="I17" s="2"/>
      <c r="J17" s="2"/>
    </row>
    <row r="18" spans="1:10" ht="42" customHeight="1">
      <c r="A18" s="4" t="s">
        <v>122</v>
      </c>
      <c r="B18" s="14">
        <v>7</v>
      </c>
      <c r="C18" s="14" t="s">
        <v>77</v>
      </c>
      <c r="D18" s="6" t="s">
        <v>123</v>
      </c>
      <c r="E18" s="6" t="s">
        <v>124</v>
      </c>
      <c r="F18" s="2"/>
      <c r="G18" s="2"/>
      <c r="H18" s="13"/>
      <c r="I18" s="2"/>
      <c r="J18" s="2"/>
    </row>
    <row r="19" spans="1:10" ht="42" customHeight="1">
      <c r="A19" s="7" t="s">
        <v>125</v>
      </c>
      <c r="B19" s="12">
        <v>7</v>
      </c>
      <c r="C19" s="12" t="s">
        <v>81</v>
      </c>
      <c r="D19" s="2" t="s">
        <v>126</v>
      </c>
      <c r="E19" s="2" t="s">
        <v>127</v>
      </c>
      <c r="F19" s="2"/>
      <c r="G19" s="2"/>
      <c r="H19" s="13"/>
      <c r="I19" s="2"/>
      <c r="J19" s="2"/>
    </row>
    <row r="20" spans="1:10" ht="42" customHeight="1">
      <c r="A20" s="4" t="s">
        <v>128</v>
      </c>
      <c r="B20" s="14">
        <v>8</v>
      </c>
      <c r="C20" s="14" t="s">
        <v>81</v>
      </c>
      <c r="D20" s="6" t="s">
        <v>129</v>
      </c>
      <c r="E20" s="6" t="s">
        <v>130</v>
      </c>
      <c r="F20" s="2"/>
      <c r="G20" s="2"/>
      <c r="H20" s="13"/>
      <c r="I20" s="2"/>
      <c r="J20" s="2"/>
    </row>
    <row r="21" spans="1:10" ht="42" customHeight="1">
      <c r="A21" s="7" t="s">
        <v>131</v>
      </c>
      <c r="B21" s="12">
        <v>8</v>
      </c>
      <c r="C21" s="12" t="s">
        <v>77</v>
      </c>
      <c r="D21" s="2" t="s">
        <v>132</v>
      </c>
      <c r="E21" s="2" t="s">
        <v>133</v>
      </c>
      <c r="F21" s="2"/>
      <c r="G21" s="2"/>
      <c r="H21" s="13"/>
      <c r="I21" s="2"/>
      <c r="J21" s="2"/>
    </row>
    <row r="22" spans="1:10" ht="42" customHeight="1">
      <c r="A22" s="4" t="s">
        <v>134</v>
      </c>
      <c r="B22" s="14">
        <v>8</v>
      </c>
      <c r="C22" s="14" t="s">
        <v>81</v>
      </c>
      <c r="D22" s="6" t="s">
        <v>135</v>
      </c>
      <c r="E22" s="6" t="s">
        <v>136</v>
      </c>
      <c r="F22" s="2"/>
      <c r="G22" s="2"/>
      <c r="H22" s="13"/>
      <c r="I22" s="2"/>
      <c r="J22" s="2"/>
    </row>
    <row r="23" spans="1:10" ht="42" customHeight="1">
      <c r="A23" s="7" t="s">
        <v>137</v>
      </c>
      <c r="B23" s="12">
        <v>9</v>
      </c>
      <c r="C23" s="12" t="s">
        <v>77</v>
      </c>
      <c r="D23" s="2" t="s">
        <v>138</v>
      </c>
      <c r="E23" s="2" t="s">
        <v>139</v>
      </c>
      <c r="F23" s="2"/>
      <c r="G23" s="2"/>
      <c r="H23" s="13"/>
      <c r="I23" s="2"/>
      <c r="J23" s="2"/>
    </row>
    <row r="24" spans="1:10" ht="42" customHeight="1">
      <c r="A24" s="4" t="s">
        <v>140</v>
      </c>
      <c r="B24" s="14">
        <v>9</v>
      </c>
      <c r="C24" s="14" t="s">
        <v>81</v>
      </c>
      <c r="D24" s="6" t="s">
        <v>141</v>
      </c>
      <c r="E24" s="6" t="s">
        <v>142</v>
      </c>
      <c r="F24" s="2"/>
      <c r="G24" s="2"/>
      <c r="H24" s="13"/>
      <c r="I24" s="2"/>
      <c r="J24" s="2"/>
    </row>
    <row r="25" spans="1:10" ht="42" customHeight="1">
      <c r="A25" s="7" t="s">
        <v>143</v>
      </c>
      <c r="B25" s="12">
        <v>9</v>
      </c>
      <c r="C25" s="12" t="s">
        <v>81</v>
      </c>
      <c r="D25" s="2" t="s">
        <v>144</v>
      </c>
      <c r="E25" s="2" t="s">
        <v>145</v>
      </c>
      <c r="F25" s="2"/>
      <c r="G25" s="2"/>
      <c r="H25" s="13"/>
      <c r="I25" s="2"/>
      <c r="J25" s="2"/>
    </row>
    <row r="26" spans="1:10" ht="42" customHeight="1">
      <c r="A26" s="9" t="s">
        <v>146</v>
      </c>
      <c r="B26" s="15">
        <v>10</v>
      </c>
      <c r="C26" s="15" t="s">
        <v>81</v>
      </c>
      <c r="D26" s="11" t="s">
        <v>147</v>
      </c>
      <c r="E26" s="11" t="s">
        <v>148</v>
      </c>
      <c r="F26" s="2"/>
      <c r="G26" s="2"/>
      <c r="H26" s="13"/>
      <c r="I26" s="2"/>
      <c r="J26" s="2"/>
    </row>
    <row r="27" spans="1:10" ht="42" customHeight="1">
      <c r="A27" s="9" t="s">
        <v>149</v>
      </c>
      <c r="B27" s="15">
        <v>10</v>
      </c>
      <c r="C27" s="15" t="s">
        <v>77</v>
      </c>
      <c r="D27" s="11" t="s">
        <v>150</v>
      </c>
      <c r="E27" s="11" t="s">
        <v>151</v>
      </c>
      <c r="F27" s="2"/>
      <c r="G27" s="2"/>
      <c r="H27" s="13"/>
      <c r="I27" s="2"/>
      <c r="J27" s="2"/>
    </row>
    <row r="28" spans="1:10" ht="42" customHeight="1">
      <c r="A28" s="9" t="s">
        <v>152</v>
      </c>
      <c r="B28" s="15">
        <v>10</v>
      </c>
      <c r="C28" s="15" t="s">
        <v>81</v>
      </c>
      <c r="D28" s="11" t="s">
        <v>153</v>
      </c>
      <c r="E28" s="11" t="s">
        <v>154</v>
      </c>
      <c r="F28" s="2"/>
      <c r="G28" s="2"/>
      <c r="H28" s="13"/>
      <c r="I28" s="2"/>
      <c r="J28" s="2"/>
    </row>
    <row r="29" spans="1:10" ht="42" customHeight="1">
      <c r="A29" s="9" t="s">
        <v>155</v>
      </c>
      <c r="B29" s="15">
        <v>10</v>
      </c>
      <c r="C29" s="15" t="s">
        <v>77</v>
      </c>
      <c r="D29" s="11" t="s">
        <v>156</v>
      </c>
      <c r="E29" s="11" t="s">
        <v>157</v>
      </c>
      <c r="F29" s="2"/>
      <c r="G29" s="2"/>
      <c r="H29" s="13"/>
      <c r="I29" s="2"/>
      <c r="J29" s="2"/>
    </row>
    <row r="30" spans="1:10" ht="42" customHeight="1">
      <c r="A30" s="4" t="s">
        <v>158</v>
      </c>
      <c r="B30" s="14">
        <v>2</v>
      </c>
      <c r="C30" s="14" t="s">
        <v>81</v>
      </c>
      <c r="D30" s="6" t="s">
        <v>159</v>
      </c>
      <c r="E30" s="6" t="s">
        <v>160</v>
      </c>
      <c r="F30" s="2"/>
      <c r="G30" s="2"/>
      <c r="H30" s="13"/>
      <c r="I30" s="2"/>
      <c r="J30" s="2"/>
    </row>
    <row r="31" spans="1:10" ht="42" customHeight="1">
      <c r="A31" s="7" t="s">
        <v>161</v>
      </c>
      <c r="B31" s="12">
        <v>3</v>
      </c>
      <c r="C31" s="12" t="s">
        <v>81</v>
      </c>
      <c r="D31" s="2" t="s">
        <v>162</v>
      </c>
      <c r="E31" s="2" t="s">
        <v>163</v>
      </c>
      <c r="F31" s="2"/>
      <c r="G31" s="2"/>
      <c r="H31" s="13"/>
      <c r="I31" s="2"/>
      <c r="J31" s="2"/>
    </row>
    <row r="32" spans="1:10" ht="42" customHeight="1">
      <c r="A32" s="4" t="s">
        <v>164</v>
      </c>
      <c r="B32" s="14">
        <v>1</v>
      </c>
      <c r="C32" s="14" t="s">
        <v>81</v>
      </c>
      <c r="D32" s="6" t="s">
        <v>165</v>
      </c>
      <c r="E32" s="6" t="s">
        <v>166</v>
      </c>
      <c r="F32" s="2"/>
      <c r="G32" s="2"/>
      <c r="H32" s="13"/>
      <c r="I32" s="2"/>
      <c r="J32" s="2"/>
    </row>
    <row r="33" spans="1:10" ht="42" customHeight="1">
      <c r="A33" s="7" t="s">
        <v>167</v>
      </c>
      <c r="B33" s="12">
        <v>8</v>
      </c>
      <c r="C33" s="12" t="s">
        <v>81</v>
      </c>
      <c r="D33" s="2" t="s">
        <v>168</v>
      </c>
      <c r="E33" s="2" t="s">
        <v>169</v>
      </c>
      <c r="F33" s="2"/>
      <c r="G33" s="2"/>
      <c r="H33" s="13"/>
      <c r="I33" s="2"/>
      <c r="J33" s="2"/>
    </row>
    <row r="34" spans="1:10" ht="42" customHeight="1">
      <c r="A34" s="4" t="s">
        <v>170</v>
      </c>
      <c r="B34" s="14">
        <v>1</v>
      </c>
      <c r="C34" s="14" t="s">
        <v>81</v>
      </c>
      <c r="D34" s="6" t="s">
        <v>171</v>
      </c>
      <c r="E34" s="6" t="s">
        <v>172</v>
      </c>
      <c r="F34" s="2"/>
      <c r="G34" s="2"/>
      <c r="H34" s="13"/>
      <c r="I34" s="2"/>
      <c r="J34" s="2"/>
    </row>
    <row r="35" spans="1:10" ht="42" customHeight="1">
      <c r="A35" s="9" t="s">
        <v>173</v>
      </c>
      <c r="B35" s="15">
        <v>10</v>
      </c>
      <c r="C35" s="15" t="s">
        <v>81</v>
      </c>
      <c r="D35" s="11" t="s">
        <v>174</v>
      </c>
      <c r="E35" s="11" t="s">
        <v>175</v>
      </c>
      <c r="F35" s="2"/>
      <c r="G35" s="2"/>
      <c r="H35" s="13"/>
      <c r="I35" s="2"/>
      <c r="J35" s="2"/>
    </row>
    <row r="36" spans="1:10" ht="42" customHeight="1">
      <c r="A36" s="9" t="s">
        <v>176</v>
      </c>
      <c r="B36" s="15">
        <v>10</v>
      </c>
      <c r="C36" s="15" t="s">
        <v>81</v>
      </c>
      <c r="D36" s="11" t="s">
        <v>177</v>
      </c>
      <c r="E36" s="11" t="s">
        <v>178</v>
      </c>
      <c r="F36" s="2"/>
      <c r="G36" s="2"/>
      <c r="H36" s="13"/>
      <c r="I36" s="2"/>
      <c r="J36" s="2"/>
    </row>
    <row r="37" spans="1:10" ht="42" customHeight="1">
      <c r="A37" s="9" t="s">
        <v>179</v>
      </c>
      <c r="B37" s="15">
        <v>10</v>
      </c>
      <c r="C37" s="15" t="s">
        <v>81</v>
      </c>
      <c r="D37" s="11" t="s">
        <v>180</v>
      </c>
      <c r="E37" s="11" t="s">
        <v>181</v>
      </c>
      <c r="F37" s="2"/>
      <c r="G37" s="2"/>
      <c r="H37" s="13"/>
      <c r="I37" s="2"/>
      <c r="J37" s="2"/>
    </row>
    <row r="39" spans="1:10">
      <c r="A39" s="18" t="s">
        <v>182</v>
      </c>
      <c r="B39" s="18"/>
      <c r="C39" s="18"/>
      <c r="D39" s="18"/>
      <c r="E39" s="18"/>
      <c r="F39" s="18"/>
      <c r="G39" s="18"/>
      <c r="H39" s="18"/>
      <c r="I39" s="18"/>
      <c r="J39" s="18"/>
    </row>
    <row r="40" spans="1:10">
      <c r="D40" s="5" t="s">
        <v>183</v>
      </c>
      <c r="E40" s="7">
        <f>COUNTIF(H3:H37,"PASS")</f>
        <v>0</v>
      </c>
    </row>
    <row r="41" spans="1:10">
      <c r="D41" s="5" t="s">
        <v>184</v>
      </c>
      <c r="E41" s="7">
        <f>COUNTIF(H3:H37,"FAIL")</f>
        <v>0</v>
      </c>
    </row>
    <row r="42" spans="1:10">
      <c r="D42" s="5" t="s">
        <v>185</v>
      </c>
      <c r="E42" s="7">
        <f>COUNTIF(H3:H37,"PARTIAL")</f>
        <v>0</v>
      </c>
    </row>
    <row r="43" spans="1:10">
      <c r="D43" s="5" t="s">
        <v>186</v>
      </c>
      <c r="E43" s="7">
        <f>COUNTIFS(B3:B37,10,H3:H37,"FAIL")</f>
        <v>0</v>
      </c>
    </row>
    <row r="44" spans="1:10">
      <c r="D44" s="5" t="s">
        <v>187</v>
      </c>
      <c r="E44" s="7">
        <f>COUNTA(A3:A37)</f>
        <v>35</v>
      </c>
    </row>
    <row r="45" spans="1:10">
      <c r="D45" s="10" t="s">
        <v>188</v>
      </c>
      <c r="E45" s="8" t="s">
        <v>189</v>
      </c>
    </row>
  </sheetData>
  <mergeCells count="2">
    <mergeCell ref="A1:J1"/>
    <mergeCell ref="A39:J39"/>
  </mergeCells>
  <dataValidations count="2">
    <dataValidation type="list" allowBlank="1" sqref="H3:H37" xr:uid="{00000000-0002-0000-0200-000000000000}">
      <formula1>"PASS,FAIL,PARTIAL,Not tested"</formula1>
      <formula2>0</formula2>
    </dataValidation>
    <dataValidation type="list" allowBlank="1" sqref="I3:I37" xr:uid="{00000000-0002-0000-0200-000001000000}">
      <formula1>"Critical,Major,Minor,Cosmetic"</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7"/>
  <sheetViews>
    <sheetView showGridLines="0" tabSelected="1" zoomScaleNormal="100" workbookViewId="0">
      <pane ySplit="2" topLeftCell="A44" activePane="bottomLeft" state="frozen"/>
      <selection pane="bottomLeft" activeCell="C2" sqref="C1:C1048576"/>
    </sheetView>
  </sheetViews>
  <sheetFormatPr defaultColWidth="8.7109375" defaultRowHeight="15"/>
  <cols>
    <col min="1" max="1" width="10" customWidth="1"/>
    <col min="2" max="2" width="82.140625" customWidth="1"/>
    <col min="3" max="3" width="83" customWidth="1"/>
    <col min="4" max="4" width="12" customWidth="1"/>
  </cols>
  <sheetData>
    <row r="1" spans="1:4" ht="27.75" customHeight="1">
      <c r="A1" s="16" t="s">
        <v>190</v>
      </c>
      <c r="B1" s="16"/>
      <c r="C1" s="16"/>
      <c r="D1" s="16"/>
    </row>
    <row r="2" spans="1:4" ht="30" customHeight="1">
      <c r="A2" s="3" t="s">
        <v>191</v>
      </c>
      <c r="B2" s="3" t="s">
        <v>192</v>
      </c>
      <c r="C2" s="3" t="s">
        <v>193</v>
      </c>
      <c r="D2" s="3" t="s">
        <v>194</v>
      </c>
    </row>
    <row r="3" spans="1:4" ht="30" customHeight="1">
      <c r="A3" s="4" t="s">
        <v>195</v>
      </c>
      <c r="B3" s="6" t="s">
        <v>195</v>
      </c>
      <c r="C3" s="6" t="s">
        <v>196</v>
      </c>
      <c r="D3" s="14">
        <v>5</v>
      </c>
    </row>
    <row r="4" spans="1:4" ht="30" customHeight="1">
      <c r="A4" s="7" t="s">
        <v>197</v>
      </c>
      <c r="B4" s="2" t="s">
        <v>198</v>
      </c>
      <c r="C4" s="2" t="s">
        <v>198</v>
      </c>
      <c r="D4" s="12">
        <v>11</v>
      </c>
    </row>
    <row r="5" spans="1:4" ht="30" customHeight="1">
      <c r="A5" s="4" t="s">
        <v>199</v>
      </c>
      <c r="B5" s="6" t="s">
        <v>200</v>
      </c>
      <c r="C5" s="6" t="s">
        <v>201</v>
      </c>
      <c r="D5" s="14">
        <v>35</v>
      </c>
    </row>
    <row r="6" spans="1:4" ht="30" customHeight="1">
      <c r="A6" s="7" t="s">
        <v>202</v>
      </c>
      <c r="B6" s="2" t="s">
        <v>203</v>
      </c>
      <c r="C6" s="2" t="s">
        <v>204</v>
      </c>
      <c r="D6" s="12">
        <v>67</v>
      </c>
    </row>
    <row r="7" spans="1:4" ht="30" customHeight="1">
      <c r="A7" s="4" t="s">
        <v>205</v>
      </c>
      <c r="B7" s="6" t="s">
        <v>206</v>
      </c>
      <c r="C7" s="6" t="s">
        <v>207</v>
      </c>
      <c r="D7" s="14">
        <v>111</v>
      </c>
    </row>
    <row r="8" spans="1:4" ht="30" customHeight="1">
      <c r="A8" s="7" t="s">
        <v>208</v>
      </c>
      <c r="B8" s="2" t="s">
        <v>209</v>
      </c>
      <c r="C8" s="2" t="s">
        <v>210</v>
      </c>
      <c r="D8" s="12">
        <v>143</v>
      </c>
    </row>
    <row r="9" spans="1:4" ht="30" customHeight="1">
      <c r="A9" s="4" t="s">
        <v>211</v>
      </c>
      <c r="B9" s="6" t="s">
        <v>212</v>
      </c>
      <c r="C9" s="6" t="s">
        <v>213</v>
      </c>
      <c r="D9" s="14">
        <v>179</v>
      </c>
    </row>
    <row r="10" spans="1:4" ht="30" customHeight="1">
      <c r="A10" s="7" t="s">
        <v>214</v>
      </c>
      <c r="B10" s="2" t="s">
        <v>215</v>
      </c>
      <c r="C10" s="2" t="s">
        <v>216</v>
      </c>
      <c r="D10" s="12">
        <v>211</v>
      </c>
    </row>
    <row r="11" spans="1:4" ht="30" customHeight="1">
      <c r="A11" s="4" t="s">
        <v>217</v>
      </c>
      <c r="B11" s="6" t="s">
        <v>218</v>
      </c>
      <c r="C11" s="6" t="s">
        <v>219</v>
      </c>
      <c r="D11" s="14">
        <v>243</v>
      </c>
    </row>
    <row r="12" spans="1:4" ht="30" customHeight="1">
      <c r="A12" s="7" t="s">
        <v>220</v>
      </c>
      <c r="B12" s="2" t="s">
        <v>221</v>
      </c>
      <c r="C12" s="2" t="s">
        <v>222</v>
      </c>
      <c r="D12" s="12">
        <v>291</v>
      </c>
    </row>
    <row r="13" spans="1:4" ht="30" customHeight="1">
      <c r="A13" s="4" t="s">
        <v>223</v>
      </c>
      <c r="B13" s="6" t="s">
        <v>224</v>
      </c>
      <c r="C13" s="6" t="s">
        <v>225</v>
      </c>
      <c r="D13" s="14">
        <v>297</v>
      </c>
    </row>
    <row r="14" spans="1:4" ht="30" customHeight="1">
      <c r="A14" s="7" t="s">
        <v>226</v>
      </c>
      <c r="B14" s="2" t="s">
        <v>227</v>
      </c>
      <c r="C14" s="2" t="s">
        <v>228</v>
      </c>
      <c r="D14" s="12">
        <v>329</v>
      </c>
    </row>
    <row r="15" spans="1:4" ht="30" customHeight="1">
      <c r="A15" s="4" t="s">
        <v>229</v>
      </c>
      <c r="B15" s="6" t="s">
        <v>230</v>
      </c>
      <c r="C15" s="6" t="s">
        <v>231</v>
      </c>
      <c r="D15" s="14">
        <v>359</v>
      </c>
    </row>
    <row r="16" spans="1:4" ht="30" customHeight="1">
      <c r="A16" s="7" t="s">
        <v>232</v>
      </c>
      <c r="B16" s="2" t="s">
        <v>233</v>
      </c>
      <c r="C16" s="2" t="s">
        <v>234</v>
      </c>
      <c r="D16" s="12">
        <v>403</v>
      </c>
    </row>
    <row r="17" spans="1:4" ht="30" customHeight="1">
      <c r="A17" s="4" t="s">
        <v>235</v>
      </c>
      <c r="B17" s="6" t="s">
        <v>236</v>
      </c>
      <c r="C17" s="6" t="s">
        <v>237</v>
      </c>
      <c r="D17" s="14">
        <v>427</v>
      </c>
    </row>
    <row r="18" spans="1:4" ht="30" customHeight="1">
      <c r="A18" s="7" t="s">
        <v>238</v>
      </c>
      <c r="B18" s="2" t="s">
        <v>239</v>
      </c>
      <c r="C18" s="2" t="s">
        <v>240</v>
      </c>
      <c r="D18" s="12">
        <v>449</v>
      </c>
    </row>
    <row r="19" spans="1:4" ht="30" customHeight="1">
      <c r="A19" s="4" t="s">
        <v>241</v>
      </c>
      <c r="B19" s="6" t="s">
        <v>242</v>
      </c>
      <c r="C19" s="6" t="s">
        <v>243</v>
      </c>
      <c r="D19" s="14">
        <v>465</v>
      </c>
    </row>
    <row r="20" spans="1:4" ht="30" customHeight="1">
      <c r="A20" s="7" t="s">
        <v>244</v>
      </c>
      <c r="B20" s="2" t="s">
        <v>245</v>
      </c>
      <c r="C20" s="2" t="s">
        <v>245</v>
      </c>
      <c r="D20" s="12">
        <v>505</v>
      </c>
    </row>
    <row r="21" spans="1:4" ht="30" customHeight="1">
      <c r="A21" s="4" t="s">
        <v>246</v>
      </c>
      <c r="B21" s="6" t="s">
        <v>247</v>
      </c>
      <c r="C21" s="6" t="s">
        <v>248</v>
      </c>
      <c r="D21" s="14">
        <v>509</v>
      </c>
    </row>
    <row r="23" spans="1:4" ht="22.35" customHeight="1">
      <c r="A23" s="17" t="s">
        <v>249</v>
      </c>
      <c r="B23" s="17"/>
      <c r="C23" s="17"/>
      <c r="D23" s="17"/>
    </row>
    <row r="25" spans="1:4">
      <c r="A25" s="18" t="s">
        <v>250</v>
      </c>
      <c r="B25" s="18"/>
      <c r="C25" s="18"/>
      <c r="D25" s="18"/>
    </row>
    <row r="26" spans="1:4" ht="30" customHeight="1">
      <c r="A26" s="3" t="s">
        <v>251</v>
      </c>
      <c r="B26" s="3" t="s">
        <v>191</v>
      </c>
      <c r="C26" s="3" t="s">
        <v>252</v>
      </c>
      <c r="D26" s="3" t="s">
        <v>253</v>
      </c>
    </row>
    <row r="27" spans="1:4" ht="27.75" customHeight="1">
      <c r="A27" s="4" t="s">
        <v>254</v>
      </c>
      <c r="B27" s="14" t="s">
        <v>199</v>
      </c>
      <c r="C27" s="6" t="s">
        <v>255</v>
      </c>
      <c r="D27" s="14">
        <v>36</v>
      </c>
    </row>
    <row r="28" spans="1:4" ht="27.75" customHeight="1">
      <c r="A28" s="7" t="s">
        <v>256</v>
      </c>
      <c r="B28" s="12" t="s">
        <v>211</v>
      </c>
      <c r="C28" s="2" t="s">
        <v>257</v>
      </c>
      <c r="D28" s="12">
        <v>180</v>
      </c>
    </row>
    <row r="29" spans="1:4" ht="27.75" customHeight="1">
      <c r="A29" s="4" t="s">
        <v>258</v>
      </c>
      <c r="B29" s="14" t="s">
        <v>217</v>
      </c>
      <c r="C29" s="6" t="s">
        <v>259</v>
      </c>
      <c r="D29" s="14">
        <v>244</v>
      </c>
    </row>
    <row r="30" spans="1:4" ht="27.75" customHeight="1">
      <c r="A30" s="7" t="s">
        <v>260</v>
      </c>
      <c r="B30" s="12" t="s">
        <v>223</v>
      </c>
      <c r="C30" s="2" t="s">
        <v>261</v>
      </c>
      <c r="D30" s="12">
        <v>296</v>
      </c>
    </row>
    <row r="31" spans="1:4" ht="27.75" customHeight="1">
      <c r="A31" s="4" t="s">
        <v>262</v>
      </c>
      <c r="B31" s="14" t="s">
        <v>229</v>
      </c>
      <c r="C31" s="6" t="s">
        <v>263</v>
      </c>
      <c r="D31" s="14">
        <v>360</v>
      </c>
    </row>
    <row r="32" spans="1:4" ht="27.75" customHeight="1">
      <c r="A32" s="7" t="s">
        <v>264</v>
      </c>
      <c r="B32" s="12" t="s">
        <v>223</v>
      </c>
      <c r="C32" s="2" t="s">
        <v>265</v>
      </c>
      <c r="D32" s="12">
        <v>296</v>
      </c>
    </row>
    <row r="35" spans="1:4">
      <c r="A35" s="18" t="s">
        <v>266</v>
      </c>
      <c r="B35" s="18"/>
      <c r="C35" s="18"/>
      <c r="D35" s="18"/>
    </row>
    <row r="36" spans="1:4" ht="30" customHeight="1">
      <c r="A36" s="3" t="s">
        <v>251</v>
      </c>
      <c r="B36" s="3" t="s">
        <v>267</v>
      </c>
      <c r="C36" s="3" t="s">
        <v>268</v>
      </c>
      <c r="D36" s="3" t="s">
        <v>253</v>
      </c>
    </row>
    <row r="37" spans="1:4" ht="30" customHeight="1">
      <c r="A37" s="4" t="s">
        <v>269</v>
      </c>
      <c r="B37" s="6" t="s">
        <v>270</v>
      </c>
      <c r="C37" s="6" t="s">
        <v>271</v>
      </c>
      <c r="D37" s="14">
        <v>25</v>
      </c>
    </row>
    <row r="38" spans="1:4" ht="30" customHeight="1">
      <c r="A38" s="7" t="s">
        <v>272</v>
      </c>
      <c r="B38" s="2" t="s">
        <v>270</v>
      </c>
      <c r="C38" s="2" t="s">
        <v>273</v>
      </c>
      <c r="D38" s="12">
        <v>183</v>
      </c>
    </row>
    <row r="39" spans="1:4" ht="30" customHeight="1">
      <c r="A39" s="4" t="s">
        <v>274</v>
      </c>
      <c r="B39" s="6" t="s">
        <v>275</v>
      </c>
      <c r="C39" s="6" t="s">
        <v>276</v>
      </c>
      <c r="D39" s="14">
        <v>310</v>
      </c>
    </row>
    <row r="40" spans="1:4" ht="30" customHeight="1">
      <c r="A40" s="7" t="s">
        <v>277</v>
      </c>
      <c r="B40" s="2" t="s">
        <v>278</v>
      </c>
      <c r="C40" s="2" t="s">
        <v>279</v>
      </c>
      <c r="D40" s="12">
        <v>319</v>
      </c>
    </row>
    <row r="43" spans="1:4">
      <c r="A43" s="18" t="s">
        <v>280</v>
      </c>
      <c r="B43" s="18"/>
      <c r="C43" s="18"/>
      <c r="D43" s="18"/>
    </row>
    <row r="44" spans="1:4" ht="30" customHeight="1">
      <c r="A44" s="3" t="s">
        <v>251</v>
      </c>
      <c r="B44" s="3" t="s">
        <v>268</v>
      </c>
      <c r="C44" s="3" t="s">
        <v>281</v>
      </c>
      <c r="D44" s="3" t="s">
        <v>191</v>
      </c>
    </row>
    <row r="45" spans="1:4" ht="31.5" customHeight="1">
      <c r="A45" s="4" t="s">
        <v>282</v>
      </c>
      <c r="B45" s="6" t="s">
        <v>283</v>
      </c>
      <c r="C45" s="14" t="s">
        <v>284</v>
      </c>
      <c r="D45" s="14" t="s">
        <v>199</v>
      </c>
    </row>
    <row r="46" spans="1:4" ht="31.5" customHeight="1">
      <c r="A46" s="7" t="s">
        <v>285</v>
      </c>
      <c r="B46" s="2" t="s">
        <v>286</v>
      </c>
      <c r="C46" s="12" t="s">
        <v>287</v>
      </c>
      <c r="D46" s="12" t="s">
        <v>208</v>
      </c>
    </row>
    <row r="47" spans="1:4" ht="31.5" customHeight="1">
      <c r="A47" s="4" t="s">
        <v>288</v>
      </c>
      <c r="B47" s="6" t="s">
        <v>289</v>
      </c>
      <c r="C47" s="14" t="s">
        <v>290</v>
      </c>
      <c r="D47" s="14" t="s">
        <v>291</v>
      </c>
    </row>
  </sheetData>
  <mergeCells count="5">
    <mergeCell ref="A1:D1"/>
    <mergeCell ref="A23:D23"/>
    <mergeCell ref="A25:D25"/>
    <mergeCell ref="A35:D35"/>
    <mergeCell ref="A43:D4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0</cp:revision>
  <dcterms:created xsi:type="dcterms:W3CDTF">2026-06-20T16:57:48Z</dcterms:created>
  <dcterms:modified xsi:type="dcterms:W3CDTF">2026-06-22T05:09:10Z</dcterms:modified>
  <cp:category/>
  <cp:contentStatus/>
</cp:coreProperties>
</file>